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liteknik Negeri Batam\Machine Learning\"/>
    </mc:Choice>
  </mc:AlternateContent>
  <xr:revisionPtr revIDLastSave="0" documentId="13_ncr:1_{795280CA-46F5-42A3-8509-3ADFFB821A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NB" sheetId="4" r:id="rId1"/>
    <sheet name="Quiz NB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4" l="1"/>
  <c r="C64" i="4"/>
  <c r="C63" i="4"/>
  <c r="H53" i="4"/>
  <c r="C56" i="4"/>
  <c r="C55" i="4"/>
  <c r="C54" i="4"/>
  <c r="C53" i="4"/>
  <c r="C52" i="4"/>
  <c r="C58" i="4" s="1"/>
  <c r="C20" i="4"/>
  <c r="C19" i="4"/>
</calcChain>
</file>

<file path=xl/sharedStrings.xml><?xml version="1.0" encoding="utf-8"?>
<sst xmlns="http://schemas.openxmlformats.org/spreadsheetml/2006/main" count="160" uniqueCount="72">
  <si>
    <t>Outlook</t>
  </si>
  <si>
    <t>Yes</t>
  </si>
  <si>
    <t>No</t>
  </si>
  <si>
    <t>Sunny</t>
  </si>
  <si>
    <t>Cloudy</t>
  </si>
  <si>
    <t>Humidity</t>
  </si>
  <si>
    <t>Temperature</t>
  </si>
  <si>
    <t>Hot</t>
  </si>
  <si>
    <t>Mild</t>
  </si>
  <si>
    <t>Cool</t>
  </si>
  <si>
    <t>High</t>
  </si>
  <si>
    <t>Normal</t>
  </si>
  <si>
    <t>Day</t>
  </si>
  <si>
    <t>Wind</t>
  </si>
  <si>
    <t>Play Ball</t>
  </si>
  <si>
    <t>Weak</t>
  </si>
  <si>
    <t>Strong</t>
  </si>
  <si>
    <t>Rain</t>
  </si>
  <si>
    <t xml:space="preserve">Cool </t>
  </si>
  <si>
    <t>1. Persiapan Data</t>
  </si>
  <si>
    <t>P(Yes) =</t>
  </si>
  <si>
    <t>P(No) =</t>
  </si>
  <si>
    <t>Untuk menghitung probabilitas prediksi, kita perlu menghitung probabilitas dari setiap fitur terhadap kelas "Yes" dan "No".</t>
  </si>
  <si>
    <t>a. Outlook</t>
  </si>
  <si>
    <t>Yes(4)</t>
  </si>
  <si>
    <t>No(3)</t>
  </si>
  <si>
    <t>b. Temperature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</si>
  <si>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</si>
  <si>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</si>
  <si>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</si>
  <si>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</si>
  <si>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</si>
  <si>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</si>
  <si>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</si>
  <si>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</si>
  <si>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</si>
  <si>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P(Cool|Yes) = </t>
  </si>
  <si>
    <t xml:space="preserve">P(High|Yes) = </t>
  </si>
  <si>
    <t xml:space="preserve">P(Strong|Yes) = </t>
  </si>
  <si>
    <t xml:space="preserve">P(Yes|Fitur) </t>
  </si>
  <si>
    <t xml:space="preserve">Gunakan Laplace smoothing: (0+1)/(4+3)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</si>
  <si>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</si>
  <si>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</si>
  <si>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</si>
  <si>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</si>
  <si>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</si>
  <si>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</si>
  <si>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</si>
  <si>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📌 Kesimpulan:</t>
  </si>
  <si>
    <t>Karena P(No | Fitur) &gt; P(Yes | Fitur), maka prediksi Naive Bayes untuk data:</t>
  </si>
  <si>
    <t>Outlook = Sunny, Temperature = Cool, Humidity = High, Wind = Strong</t>
  </si>
  <si>
    <r>
      <t xml:space="preserve">adalah: </t>
    </r>
    <r>
      <rPr>
        <b/>
        <sz val="11"/>
        <color theme="1"/>
        <rFont val="Calibri"/>
        <family val="2"/>
        <scheme val="minor"/>
      </rPr>
      <t>"No"</t>
    </r>
  </si>
  <si>
    <t>❓Pertanyaan:</t>
  </si>
  <si>
    <r>
      <t xml:space="preserve">Berdasarkan data di atas, gunakan algoritma </t>
    </r>
    <r>
      <rPr>
        <b/>
        <sz val="11"/>
        <color theme="1"/>
        <rFont val="Calibri"/>
        <family val="2"/>
        <scheme val="minor"/>
      </rPr>
      <t>Naive Bayes</t>
    </r>
    <r>
      <rPr>
        <sz val="11"/>
        <color theme="1"/>
        <rFont val="Calibri"/>
        <family val="2"/>
        <scheme val="minor"/>
      </rPr>
      <t xml:space="preserve"> untuk memprediksi apakah seseorang akan </t>
    </r>
    <r>
      <rPr>
        <b/>
        <sz val="11"/>
        <color theme="1"/>
        <rFont val="Calibri"/>
        <family val="2"/>
        <scheme val="minor"/>
      </rPr>
      <t>Play = Yes atau No</t>
    </r>
    <r>
      <rPr>
        <sz val="11"/>
        <color theme="1"/>
        <rFont val="Calibri"/>
        <family val="2"/>
        <scheme val="minor"/>
      </rPr>
      <t xml:space="preserve"> jika kondisi cuaca berikut:</t>
    </r>
  </si>
  <si>
    <t>Nama :</t>
  </si>
  <si>
    <t>NIM :</t>
  </si>
  <si>
    <t xml:space="preserve">Kelas : </t>
  </si>
  <si>
    <t>1. Data</t>
  </si>
  <si>
    <t>Naive Bayes Classification - Quiz</t>
  </si>
  <si>
    <t xml:space="preserve">  - Weather = Sunny</t>
  </si>
  <si>
    <t xml:space="preserve">  - Temperature = Cool</t>
  </si>
  <si>
    <t xml:space="preserve">  - Humidity = High</t>
  </si>
  <si>
    <t xml:space="preserve">  - Windy = False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</si>
  <si>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</si>
  <si>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</si>
  <si>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</si>
  <si>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</si>
  <si>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</si>
  <si>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>2. Hitung Probabilitas Kelas</t>
  </si>
  <si>
    <t>3. Hitung Probabilitas Kondisional</t>
  </si>
  <si>
    <t xml:space="preserve">Cara Kerja Naive Bayes Classification </t>
  </si>
  <si>
    <t>4. Menerapkan teorema 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</si>
</sst>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\ ?/4"/>
    <numFmt numFmtId="169" formatCode="_(* #,##0.00000_);_(* \(#,##0.00000\);_(* &quot;-&quot;?????_);_(@_)"/>
    <numFmt numFmtId="172" formatCode="#\ ?/8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0" fillId="0" borderId="0" xfId="0" applyNumberFormat="1"/>
    <xf numFmtId="12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168" fontId="0" fillId="0" borderId="0" xfId="0" applyNumberFormat="1"/>
    <xf numFmtId="0" fontId="1" fillId="0" borderId="0" xfId="0" applyFont="1" applyAlignment="1">
      <alignment horizontal="center"/>
    </xf>
    <xf numFmtId="169" fontId="0" fillId="0" borderId="0" xfId="0" applyNumberFormat="1"/>
    <xf numFmtId="172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B184-28A0-4596-B4AB-2D4173C22044}">
  <dimension ref="B3:H82"/>
  <sheetViews>
    <sheetView tabSelected="1" workbookViewId="0">
      <selection activeCell="E71" sqref="E71"/>
    </sheetView>
  </sheetViews>
  <sheetFormatPr defaultRowHeight="14.4"/>
  <cols>
    <col min="2" max="2" width="14.33203125" customWidth="1"/>
    <col min="3" max="3" width="12.33203125" customWidth="1"/>
    <col min="4" max="4" width="12.5546875" customWidth="1"/>
    <col min="6" max="6" width="12.21875" customWidth="1"/>
  </cols>
  <sheetData>
    <row r="3" spans="2:8" ht="14.4" customHeight="1">
      <c r="B3" s="24" t="s">
        <v>70</v>
      </c>
      <c r="C3" s="24"/>
      <c r="D3" s="24"/>
      <c r="E3" s="24"/>
      <c r="F3" s="24"/>
      <c r="G3" s="24"/>
      <c r="H3" s="24"/>
    </row>
    <row r="5" spans="2:8">
      <c r="B5" s="2" t="s">
        <v>19</v>
      </c>
    </row>
    <row r="7" spans="2:8">
      <c r="B7" s="4" t="s">
        <v>12</v>
      </c>
      <c r="C7" s="4" t="s">
        <v>0</v>
      </c>
      <c r="D7" s="4" t="s">
        <v>6</v>
      </c>
      <c r="E7" s="4" t="s">
        <v>5</v>
      </c>
      <c r="F7" s="4" t="s">
        <v>13</v>
      </c>
      <c r="G7" s="4" t="s">
        <v>14</v>
      </c>
    </row>
    <row r="8" spans="2:8">
      <c r="B8" s="3">
        <v>1</v>
      </c>
      <c r="C8" s="3" t="s">
        <v>3</v>
      </c>
      <c r="D8" s="3" t="s">
        <v>7</v>
      </c>
      <c r="E8" s="3" t="s">
        <v>10</v>
      </c>
      <c r="F8" s="3" t="s">
        <v>15</v>
      </c>
      <c r="G8" s="3" t="s">
        <v>2</v>
      </c>
    </row>
    <row r="9" spans="2:8">
      <c r="B9" s="3">
        <v>2</v>
      </c>
      <c r="C9" s="3" t="s">
        <v>3</v>
      </c>
      <c r="D9" s="3" t="s">
        <v>7</v>
      </c>
      <c r="E9" s="3" t="s">
        <v>10</v>
      </c>
      <c r="F9" s="3" t="s">
        <v>16</v>
      </c>
      <c r="G9" s="3" t="s">
        <v>2</v>
      </c>
    </row>
    <row r="10" spans="2:8">
      <c r="B10" s="3">
        <v>3</v>
      </c>
      <c r="C10" s="3" t="s">
        <v>4</v>
      </c>
      <c r="D10" s="3" t="s">
        <v>7</v>
      </c>
      <c r="E10" s="3" t="s">
        <v>10</v>
      </c>
      <c r="F10" s="3" t="s">
        <v>15</v>
      </c>
      <c r="G10" s="3" t="s">
        <v>1</v>
      </c>
    </row>
    <row r="11" spans="2:8">
      <c r="B11" s="3">
        <v>4</v>
      </c>
      <c r="C11" s="3" t="s">
        <v>17</v>
      </c>
      <c r="D11" s="3" t="s">
        <v>8</v>
      </c>
      <c r="E11" s="3" t="s">
        <v>10</v>
      </c>
      <c r="F11" s="3" t="s">
        <v>15</v>
      </c>
      <c r="G11" s="3" t="s">
        <v>1</v>
      </c>
    </row>
    <row r="12" spans="2:8">
      <c r="B12" s="3">
        <v>5</v>
      </c>
      <c r="C12" s="3" t="s">
        <v>17</v>
      </c>
      <c r="D12" s="3" t="s">
        <v>9</v>
      </c>
      <c r="E12" s="3" t="s">
        <v>11</v>
      </c>
      <c r="F12" s="3" t="s">
        <v>15</v>
      </c>
      <c r="G12" s="3" t="s">
        <v>1</v>
      </c>
    </row>
    <row r="13" spans="2:8">
      <c r="B13" s="3">
        <v>6</v>
      </c>
      <c r="C13" s="3" t="s">
        <v>17</v>
      </c>
      <c r="D13" s="3" t="s">
        <v>9</v>
      </c>
      <c r="E13" s="3" t="s">
        <v>11</v>
      </c>
      <c r="F13" s="3" t="s">
        <v>16</v>
      </c>
      <c r="G13" s="3" t="s">
        <v>2</v>
      </c>
    </row>
    <row r="14" spans="2:8">
      <c r="B14" s="3">
        <v>7</v>
      </c>
      <c r="C14" s="3" t="s">
        <v>4</v>
      </c>
      <c r="D14" s="3" t="s">
        <v>18</v>
      </c>
      <c r="E14" s="3" t="s">
        <v>11</v>
      </c>
      <c r="F14" s="3" t="s">
        <v>16</v>
      </c>
      <c r="G14" s="3" t="s">
        <v>1</v>
      </c>
    </row>
    <row r="17" spans="2:8">
      <c r="B17" s="2" t="s">
        <v>68</v>
      </c>
    </row>
    <row r="19" spans="2:8">
      <c r="B19" t="s">
        <v>20</v>
      </c>
      <c r="C19" s="6">
        <f>4/7</f>
        <v>0.5714285714285714</v>
      </c>
    </row>
    <row r="20" spans="2:8">
      <c r="B20" t="s">
        <v>21</v>
      </c>
      <c r="C20" s="6">
        <f>3/7</f>
        <v>0.42857142857142855</v>
      </c>
    </row>
    <row r="23" spans="2:8">
      <c r="B23" s="2" t="s">
        <v>69</v>
      </c>
    </row>
    <row r="24" spans="2:8">
      <c r="B24" s="7" t="s">
        <v>22</v>
      </c>
      <c r="C24" s="7"/>
      <c r="D24" s="7"/>
      <c r="E24" s="7"/>
      <c r="F24" s="7"/>
      <c r="G24" s="7"/>
    </row>
    <row r="25" spans="2:8">
      <c r="B25" s="7"/>
      <c r="C25" s="7"/>
      <c r="D25" s="7"/>
      <c r="E25" s="7"/>
      <c r="F25" s="7"/>
      <c r="G25" s="7"/>
    </row>
    <row r="26" spans="2:8">
      <c r="B26" s="11"/>
      <c r="C26" s="11"/>
      <c r="D26" s="11"/>
      <c r="E26" s="11"/>
      <c r="F26" s="11"/>
      <c r="G26" s="11"/>
    </row>
    <row r="27" spans="2:8">
      <c r="B27" s="11"/>
      <c r="C27" s="11"/>
      <c r="D27" s="11"/>
      <c r="E27" s="11"/>
      <c r="F27" s="11"/>
      <c r="G27" s="11"/>
    </row>
    <row r="29" spans="2:8">
      <c r="B29" t="s">
        <v>23</v>
      </c>
      <c r="F29" t="s">
        <v>26</v>
      </c>
    </row>
    <row r="31" spans="2:8">
      <c r="B31" s="3" t="s">
        <v>0</v>
      </c>
      <c r="C31" s="3" t="s">
        <v>24</v>
      </c>
      <c r="D31" s="3" t="s">
        <v>25</v>
      </c>
      <c r="F31" s="10" t="s">
        <v>6</v>
      </c>
      <c r="G31" s="10" t="s">
        <v>24</v>
      </c>
      <c r="H31" s="10" t="s">
        <v>25</v>
      </c>
    </row>
    <row r="32" spans="2:8">
      <c r="B32" s="3" t="s">
        <v>3</v>
      </c>
      <c r="C32" s="3">
        <v>0</v>
      </c>
      <c r="D32" s="3">
        <v>2</v>
      </c>
      <c r="F32" s="1" t="s">
        <v>7</v>
      </c>
      <c r="G32" s="1">
        <v>1</v>
      </c>
      <c r="H32" s="1">
        <v>2</v>
      </c>
    </row>
    <row r="33" spans="2:8">
      <c r="B33" s="3" t="s">
        <v>17</v>
      </c>
      <c r="C33" s="3">
        <v>2</v>
      </c>
      <c r="D33" s="3">
        <v>1</v>
      </c>
      <c r="F33" s="1" t="s">
        <v>8</v>
      </c>
      <c r="G33" s="1">
        <v>1</v>
      </c>
      <c r="H33" s="1">
        <v>0</v>
      </c>
    </row>
    <row r="34" spans="2:8">
      <c r="B34" s="3" t="s">
        <v>4</v>
      </c>
      <c r="C34" s="3">
        <v>2</v>
      </c>
      <c r="D34" s="3">
        <v>0</v>
      </c>
      <c r="F34" s="1" t="s">
        <v>9</v>
      </c>
      <c r="G34" s="1">
        <v>2</v>
      </c>
      <c r="H34" s="1">
        <v>1</v>
      </c>
    </row>
    <row r="37" spans="2:8">
      <c r="B37" s="9" t="s">
        <v>27</v>
      </c>
      <c r="F37" t="s">
        <v>28</v>
      </c>
    </row>
    <row r="39" spans="2:8">
      <c r="B39" s="1" t="s">
        <v>5</v>
      </c>
      <c r="C39" s="1" t="s">
        <v>24</v>
      </c>
      <c r="D39" s="1" t="s">
        <v>25</v>
      </c>
      <c r="F39" s="1" t="s">
        <v>13</v>
      </c>
      <c r="G39" s="1" t="s">
        <v>24</v>
      </c>
      <c r="H39" s="1" t="s">
        <v>25</v>
      </c>
    </row>
    <row r="40" spans="2:8">
      <c r="B40" s="1" t="s">
        <v>10</v>
      </c>
      <c r="C40" s="1">
        <v>2</v>
      </c>
      <c r="D40" s="1">
        <v>2</v>
      </c>
      <c r="F40" s="1" t="s">
        <v>15</v>
      </c>
      <c r="G40" s="1">
        <v>3</v>
      </c>
      <c r="H40" s="1">
        <v>1</v>
      </c>
    </row>
    <row r="41" spans="2:8">
      <c r="B41" s="1" t="s">
        <v>11</v>
      </c>
      <c r="C41" s="1">
        <v>2</v>
      </c>
      <c r="D41" s="1">
        <v>1</v>
      </c>
      <c r="F41" s="1" t="s">
        <v>16</v>
      </c>
      <c r="G41" s="1">
        <v>1</v>
      </c>
      <c r="H41" s="1">
        <v>2</v>
      </c>
    </row>
    <row r="45" spans="2:8">
      <c r="B45" s="2" t="s">
        <v>29</v>
      </c>
    </row>
    <row r="46" spans="2:8">
      <c r="B46" t="s">
        <v>30</v>
      </c>
    </row>
    <row r="47" spans="2:8">
      <c r="B47" s="12" t="s">
        <v>31</v>
      </c>
      <c r="C47" s="12"/>
      <c r="D47" s="12"/>
      <c r="E47" s="12"/>
      <c r="F47" s="12"/>
      <c r="G47" s="12"/>
    </row>
    <row r="49" spans="2:8">
      <c r="B49" s="2" t="s">
        <v>32</v>
      </c>
      <c r="C49" s="2"/>
      <c r="D49" s="2"/>
      <c r="E49" s="2"/>
      <c r="F49" s="2"/>
      <c r="G49" s="2"/>
      <c r="H49" s="2"/>
    </row>
    <row r="50" spans="2:8">
      <c r="B50" s="2" t="s">
        <v>33</v>
      </c>
      <c r="C50" s="2"/>
      <c r="D50" s="2"/>
      <c r="E50" s="2"/>
      <c r="F50" s="2"/>
      <c r="G50" s="2"/>
      <c r="H50" s="2"/>
    </row>
    <row r="52" spans="2:8">
      <c r="B52" t="s">
        <v>34</v>
      </c>
      <c r="C52" s="6">
        <f>4/7</f>
        <v>0.5714285714285714</v>
      </c>
    </row>
    <row r="53" spans="2:8">
      <c r="B53" t="s">
        <v>35</v>
      </c>
      <c r="C53">
        <f>0/4</f>
        <v>0</v>
      </c>
      <c r="D53" s="14" t="s">
        <v>40</v>
      </c>
      <c r="E53" s="14"/>
      <c r="F53" s="14"/>
      <c r="G53" s="14"/>
      <c r="H53" s="6">
        <f xml:space="preserve"> 1/7</f>
        <v>0.14285714285714285</v>
      </c>
    </row>
    <row r="54" spans="2:8">
      <c r="B54" t="s">
        <v>36</v>
      </c>
      <c r="C54" s="13">
        <f>2/4</f>
        <v>0.5</v>
      </c>
    </row>
    <row r="55" spans="2:8">
      <c r="B55" t="s">
        <v>37</v>
      </c>
      <c r="C55" s="13">
        <f>2/4</f>
        <v>0.5</v>
      </c>
    </row>
    <row r="56" spans="2:8">
      <c r="B56" t="s">
        <v>38</v>
      </c>
      <c r="C56" s="6">
        <f>1/4</f>
        <v>0.25</v>
      </c>
    </row>
    <row r="58" spans="2:8">
      <c r="B58" t="s">
        <v>39</v>
      </c>
      <c r="C58" s="15">
        <f>C52*H53*C54*C55*C56</f>
        <v>5.1020408163265302E-3</v>
      </c>
    </row>
    <row r="61" spans="2:8">
      <c r="B61" s="2" t="s">
        <v>41</v>
      </c>
      <c r="C61" s="2"/>
      <c r="D61" s="2"/>
      <c r="E61" s="2"/>
      <c r="F61" s="2"/>
      <c r="G61" s="2"/>
    </row>
    <row r="63" spans="2:8">
      <c r="B63" t="s">
        <v>42</v>
      </c>
      <c r="C63" s="6">
        <f>3/7</f>
        <v>0.42857142857142855</v>
      </c>
    </row>
    <row r="64" spans="2:8">
      <c r="B64" t="s">
        <v>43</v>
      </c>
      <c r="C64" s="6">
        <f>2/3</f>
        <v>0.66666666666666663</v>
      </c>
    </row>
    <row r="65" spans="2:7">
      <c r="B65" t="s">
        <v>44</v>
      </c>
      <c r="C65" s="6">
        <v>0.33333333333333331</v>
      </c>
    </row>
    <row r="66" spans="2:7">
      <c r="B66" t="s">
        <v>45</v>
      </c>
      <c r="C66" s="6">
        <v>0.66666666666666663</v>
      </c>
    </row>
    <row r="67" spans="2:7">
      <c r="B67" t="s">
        <v>46</v>
      </c>
      <c r="C67" s="6">
        <v>0.66666666666666663</v>
      </c>
    </row>
    <row r="69" spans="2:7">
      <c r="B69" t="s">
        <v>47</v>
      </c>
      <c r="C69" s="15">
        <f>C63*C64*C65*C66*C67</f>
        <v>4.2328042328042326E-2</v>
      </c>
    </row>
    <row r="71" spans="2:7">
      <c r="B71" s="2" t="s">
        <v>71</v>
      </c>
    </row>
    <row r="73" spans="2:7" ht="18">
      <c r="B73" s="18" t="s">
        <v>48</v>
      </c>
    </row>
    <row r="75" spans="2:7">
      <c r="B75" t="s">
        <v>49</v>
      </c>
    </row>
    <row r="76" spans="2:7">
      <c r="B76" s="17"/>
      <c r="C76" s="2"/>
      <c r="D76" s="2"/>
      <c r="E76" s="2"/>
      <c r="F76" s="2"/>
      <c r="G76" s="2"/>
    </row>
    <row r="77" spans="2:7">
      <c r="B77" s="19" t="s">
        <v>50</v>
      </c>
    </row>
    <row r="79" spans="2:7">
      <c r="B79" t="s">
        <v>51</v>
      </c>
    </row>
    <row r="81" spans="4:4">
      <c r="D81" s="16"/>
    </row>
    <row r="82" spans="4:4">
      <c r="D82" s="5"/>
    </row>
  </sheetData>
  <mergeCells count="4">
    <mergeCell ref="B24:G25"/>
    <mergeCell ref="B47:G47"/>
    <mergeCell ref="D53:G53"/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820F-5491-4731-BAE1-699FC7EE666C}">
  <sheetPr>
    <tabColor rgb="FFFF0000"/>
  </sheetPr>
  <dimension ref="C2:H34"/>
  <sheetViews>
    <sheetView workbookViewId="0">
      <selection activeCell="C2" sqref="C2:H2"/>
    </sheetView>
  </sheetViews>
  <sheetFormatPr defaultRowHeight="14.4"/>
  <cols>
    <col min="5" max="5" width="13.109375" customWidth="1"/>
  </cols>
  <sheetData>
    <row r="2" spans="3:8" ht="18">
      <c r="C2" s="25" t="s">
        <v>58</v>
      </c>
      <c r="D2" s="26"/>
      <c r="E2" s="26"/>
      <c r="F2" s="26"/>
      <c r="G2" s="26"/>
      <c r="H2" s="26"/>
    </row>
    <row r="4" spans="3:8">
      <c r="C4" t="s">
        <v>54</v>
      </c>
    </row>
    <row r="5" spans="3:8">
      <c r="C5" t="s">
        <v>55</v>
      </c>
    </row>
    <row r="6" spans="3:8">
      <c r="C6" t="s">
        <v>56</v>
      </c>
    </row>
    <row r="8" spans="3:8">
      <c r="C8" s="2" t="s">
        <v>57</v>
      </c>
    </row>
    <row r="10" spans="3:8">
      <c r="C10" s="20" t="s">
        <v>12</v>
      </c>
      <c r="D10" s="20" t="s">
        <v>0</v>
      </c>
      <c r="E10" s="20" t="s">
        <v>6</v>
      </c>
      <c r="F10" s="20" t="s">
        <v>5</v>
      </c>
      <c r="G10" s="20" t="s">
        <v>13</v>
      </c>
      <c r="H10" s="20" t="s">
        <v>14</v>
      </c>
    </row>
    <row r="11" spans="3:8">
      <c r="C11" s="21">
        <v>1</v>
      </c>
      <c r="D11" s="21" t="s">
        <v>3</v>
      </c>
      <c r="E11" s="21" t="s">
        <v>7</v>
      </c>
      <c r="F11" s="21" t="s">
        <v>10</v>
      </c>
      <c r="G11" s="21" t="s">
        <v>15</v>
      </c>
      <c r="H11" s="21" t="s">
        <v>2</v>
      </c>
    </row>
    <row r="12" spans="3:8">
      <c r="C12" s="21">
        <v>2</v>
      </c>
      <c r="D12" s="21" t="s">
        <v>3</v>
      </c>
      <c r="E12" s="21" t="s">
        <v>7</v>
      </c>
      <c r="F12" s="21" t="s">
        <v>10</v>
      </c>
      <c r="G12" s="21" t="s">
        <v>16</v>
      </c>
      <c r="H12" s="21" t="s">
        <v>2</v>
      </c>
    </row>
    <row r="13" spans="3:8">
      <c r="C13" s="21">
        <v>3</v>
      </c>
      <c r="D13" s="21" t="s">
        <v>4</v>
      </c>
      <c r="E13" s="21" t="s">
        <v>7</v>
      </c>
      <c r="F13" s="21" t="s">
        <v>10</v>
      </c>
      <c r="G13" s="21" t="s">
        <v>15</v>
      </c>
      <c r="H13" s="21" t="s">
        <v>1</v>
      </c>
    </row>
    <row r="14" spans="3:8">
      <c r="C14" s="21">
        <v>4</v>
      </c>
      <c r="D14" s="21" t="s">
        <v>17</v>
      </c>
      <c r="E14" s="21" t="s">
        <v>8</v>
      </c>
      <c r="F14" s="21" t="s">
        <v>10</v>
      </c>
      <c r="G14" s="21" t="s">
        <v>15</v>
      </c>
      <c r="H14" s="21" t="s">
        <v>1</v>
      </c>
    </row>
    <row r="15" spans="3:8">
      <c r="C15" s="21">
        <v>5</v>
      </c>
      <c r="D15" s="21" t="s">
        <v>17</v>
      </c>
      <c r="E15" s="21" t="s">
        <v>9</v>
      </c>
      <c r="F15" s="21" t="s">
        <v>11</v>
      </c>
      <c r="G15" s="21" t="s">
        <v>15</v>
      </c>
      <c r="H15" s="21" t="s">
        <v>1</v>
      </c>
    </row>
    <row r="16" spans="3:8">
      <c r="C16" s="21">
        <v>6</v>
      </c>
      <c r="D16" s="21" t="s">
        <v>17</v>
      </c>
      <c r="E16" s="21" t="s">
        <v>9</v>
      </c>
      <c r="F16" s="21" t="s">
        <v>11</v>
      </c>
      <c r="G16" s="21" t="s">
        <v>16</v>
      </c>
      <c r="H16" s="21" t="s">
        <v>2</v>
      </c>
    </row>
    <row r="17" spans="3:8">
      <c r="C17" s="21">
        <v>7</v>
      </c>
      <c r="D17" s="21" t="s">
        <v>4</v>
      </c>
      <c r="E17" s="21" t="s">
        <v>18</v>
      </c>
      <c r="F17" s="21" t="s">
        <v>11</v>
      </c>
      <c r="G17" s="21" t="s">
        <v>16</v>
      </c>
      <c r="H17" s="21" t="s">
        <v>1</v>
      </c>
    </row>
    <row r="18" spans="3:8">
      <c r="C18" s="21">
        <v>8</v>
      </c>
      <c r="D18" s="21" t="s">
        <v>3</v>
      </c>
      <c r="E18" s="21" t="s">
        <v>8</v>
      </c>
      <c r="F18" s="21" t="s">
        <v>10</v>
      </c>
      <c r="G18" s="21" t="s">
        <v>15</v>
      </c>
      <c r="H18" s="21" t="s">
        <v>2</v>
      </c>
    </row>
    <row r="21" spans="3:8" ht="15.6">
      <c r="C21" s="22" t="s">
        <v>52</v>
      </c>
      <c r="D21" s="23"/>
    </row>
    <row r="22" spans="3:8">
      <c r="C22" s="8" t="s">
        <v>53</v>
      </c>
      <c r="D22" s="8"/>
      <c r="E22" s="8"/>
      <c r="F22" s="8"/>
      <c r="G22" s="8"/>
      <c r="H22" s="8"/>
    </row>
    <row r="23" spans="3:8">
      <c r="C23" s="8"/>
      <c r="D23" s="8"/>
      <c r="E23" s="8"/>
      <c r="F23" s="8"/>
      <c r="G23" s="8"/>
      <c r="H23" s="8"/>
    </row>
    <row r="24" spans="3:8">
      <c r="C24" s="8"/>
      <c r="D24" s="8"/>
      <c r="E24" s="8"/>
      <c r="F24" s="8"/>
      <c r="G24" s="8"/>
      <c r="H24" s="8"/>
    </row>
    <row r="25" spans="3:8">
      <c r="C25" s="27" t="s">
        <v>59</v>
      </c>
      <c r="D25" s="27"/>
    </row>
    <row r="26" spans="3:8" ht="14.4" customHeight="1">
      <c r="C26" s="27" t="s">
        <v>60</v>
      </c>
      <c r="D26" s="27"/>
    </row>
    <row r="27" spans="3:8">
      <c r="C27" s="27" t="s">
        <v>61</v>
      </c>
      <c r="D27" s="27"/>
    </row>
    <row r="28" spans="3:8">
      <c r="C28" s="27" t="s">
        <v>62</v>
      </c>
      <c r="D28" s="27"/>
    </row>
    <row r="30" spans="3:8">
      <c r="C30" s="23" t="s">
        <v>63</v>
      </c>
      <c r="D30" s="27"/>
      <c r="E30" s="27"/>
      <c r="F30" s="27"/>
      <c r="G30" s="27"/>
      <c r="H30" s="27"/>
    </row>
    <row r="31" spans="3:8">
      <c r="C31" s="28" t="s">
        <v>64</v>
      </c>
      <c r="D31" s="27"/>
      <c r="E31" s="27"/>
      <c r="F31" s="27"/>
      <c r="G31" s="27"/>
      <c r="H31" s="27"/>
    </row>
    <row r="32" spans="3:8">
      <c r="C32" s="28" t="s">
        <v>65</v>
      </c>
      <c r="D32" s="27"/>
      <c r="E32" s="27"/>
      <c r="F32" s="27"/>
      <c r="G32" s="27"/>
      <c r="H32" s="27"/>
    </row>
    <row r="33" spans="3:8">
      <c r="C33" s="28" t="s">
        <v>66</v>
      </c>
      <c r="D33" s="27"/>
      <c r="E33" s="27"/>
      <c r="F33" s="27"/>
      <c r="G33" s="27"/>
      <c r="H33" s="27"/>
    </row>
    <row r="34" spans="3:8">
      <c r="C34" s="28" t="s">
        <v>67</v>
      </c>
      <c r="D34" s="27"/>
      <c r="E34" s="27"/>
      <c r="F34" s="27"/>
      <c r="G34" s="27"/>
      <c r="H34" s="27"/>
    </row>
  </sheetData>
  <mergeCells count="2">
    <mergeCell ref="C2:H2"/>
    <mergeCell ref="C22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Naura Nazhifah</cp:lastModifiedBy>
  <dcterms:created xsi:type="dcterms:W3CDTF">2025-04-15T08:45:59Z</dcterms:created>
  <dcterms:modified xsi:type="dcterms:W3CDTF">2025-04-20T14:29:09Z</dcterms:modified>
</cp:coreProperties>
</file>